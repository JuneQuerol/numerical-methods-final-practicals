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Integration" sheetId="1" r:id="rId1"/>
    <sheet name="P2_RK4" sheetId="2" r:id="rId2"/>
  </sheets>
  <calcPr calcId="124519" fullCalcOnLoad="1"/>
</workbook>
</file>

<file path=xl/sharedStrings.xml><?xml version="1.0" encoding="utf-8"?>
<sst xmlns="http://schemas.openxmlformats.org/spreadsheetml/2006/main" count="29" uniqueCount="27">
  <si>
    <t>Numerical Integration (n=10)</t>
  </si>
  <si>
    <t>a =</t>
  </si>
  <si>
    <t>b =</t>
  </si>
  <si>
    <t>n =</t>
  </si>
  <si>
    <t>h =</t>
  </si>
  <si>
    <t>True I =</t>
  </si>
  <si>
    <t>i</t>
  </si>
  <si>
    <t>xi</t>
  </si>
  <si>
    <t>f(xi)</t>
  </si>
  <si>
    <t>Trap. Multiplier</t>
  </si>
  <si>
    <t>Simpson's Mult.</t>
  </si>
  <si>
    <t>Notes</t>
  </si>
  <si>
    <t>Trapezoidal Result (I)</t>
  </si>
  <si>
    <t>Simpson's 1/3 Result (I)</t>
  </si>
  <si>
    <t>εt (Trapezoidal)</t>
  </si>
  <si>
    <t>εt (Simpson's)</t>
  </si>
  <si>
    <t>4th-Order Runge-Kutta (RK4)</t>
  </si>
  <si>
    <t>x0 =</t>
  </si>
  <si>
    <t>y0 =</t>
  </si>
  <si>
    <t>Step (i)</t>
  </si>
  <si>
    <t>yi</t>
  </si>
  <si>
    <t>k1</t>
  </si>
  <si>
    <t>k2</t>
  </si>
  <si>
    <t>k3</t>
  </si>
  <si>
    <t>k4</t>
  </si>
  <si>
    <t>yi+1</t>
  </si>
  <si>
    <t>—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</si>
</sst>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RK4 Numerical Solution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RK4 Solution</c:v>
          </c:tx>
          <c:xVal>
            <c:numRef>
              <c:f>P2_RK4!$B$8:$B$12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P2_RK4!$C$8:$C$12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</row>
    <row r="2" spans="1:6">
      <c r="A2" t="s">
        <v>1</v>
      </c>
      <c r="B2">
        <v>0</v>
      </c>
    </row>
    <row r="3" spans="1:6">
      <c r="A3" t="s">
        <v>2</v>
      </c>
      <c r="B3">
        <v>0.8</v>
      </c>
    </row>
    <row r="4" spans="1:6">
      <c r="A4" t="s">
        <v>3</v>
      </c>
      <c r="B4">
        <v>10</v>
      </c>
    </row>
    <row r="5" spans="1:6">
      <c r="A5" t="s">
        <v>4</v>
      </c>
      <c r="B5">
        <f>(B3-B2)/B4</f>
        <v>0</v>
      </c>
    </row>
    <row r="6" spans="1:6">
      <c r="A6" t="s">
        <v>5</v>
      </c>
      <c r="B6">
        <v>1.640533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>
        <v>0</v>
      </c>
      <c r="B9">
        <f>$B$2+0*$B$5</f>
        <v>0</v>
      </c>
      <c r="C9" s="3">
        <f>0.2+25*B9-200*B9^2+675*B9^3-900*B9^4+400*B9^5</f>
        <v>0</v>
      </c>
      <c r="D9">
        <v>1</v>
      </c>
      <c r="E9">
        <v>1</v>
      </c>
    </row>
    <row r="10" spans="1:6">
      <c r="A10">
        <v>1</v>
      </c>
      <c r="B10">
        <f>$B$2+1*$B$5</f>
        <v>0</v>
      </c>
      <c r="C10" s="3">
        <f>0.2+25*B10-200*B10^2+675*B10^3-900*B10^4+400*B10^5</f>
        <v>0</v>
      </c>
      <c r="D10">
        <v>2</v>
      </c>
      <c r="E10">
        <v>4</v>
      </c>
    </row>
    <row r="11" spans="1:6">
      <c r="A11">
        <v>2</v>
      </c>
      <c r="B11">
        <f>$B$2+2*$B$5</f>
        <v>0</v>
      </c>
      <c r="C11" s="3">
        <f>0.2+25*B11-200*B11^2+675*B11^3-900*B11^4+400*B11^5</f>
        <v>0</v>
      </c>
      <c r="D11">
        <v>2</v>
      </c>
      <c r="E11">
        <v>2</v>
      </c>
    </row>
    <row r="12" spans="1:6">
      <c r="A12">
        <v>3</v>
      </c>
      <c r="B12">
        <f>$B$2+3*$B$5</f>
        <v>0</v>
      </c>
      <c r="C12" s="3">
        <f>0.2+25*B12-200*B12^2+675*B12^3-900*B12^4+400*B12^5</f>
        <v>0</v>
      </c>
      <c r="D12">
        <v>2</v>
      </c>
      <c r="E12">
        <v>4</v>
      </c>
    </row>
    <row r="13" spans="1:6">
      <c r="A13">
        <v>4</v>
      </c>
      <c r="B13">
        <f>$B$2+4*$B$5</f>
        <v>0</v>
      </c>
      <c r="C13" s="3">
        <f>0.2+25*B13-200*B13^2+675*B13^3-900*B13^4+400*B13^5</f>
        <v>0</v>
      </c>
      <c r="D13">
        <v>2</v>
      </c>
      <c r="E13">
        <v>2</v>
      </c>
    </row>
    <row r="14" spans="1:6">
      <c r="A14">
        <v>5</v>
      </c>
      <c r="B14">
        <f>$B$2+5*$B$5</f>
        <v>0</v>
      </c>
      <c r="C14" s="3">
        <f>0.2+25*B14-200*B14^2+675*B14^3-900*B14^4+400*B14^5</f>
        <v>0</v>
      </c>
      <c r="D14">
        <v>2</v>
      </c>
      <c r="E14">
        <v>4</v>
      </c>
    </row>
    <row r="15" spans="1:6">
      <c r="A15">
        <v>6</v>
      </c>
      <c r="B15">
        <f>$B$2+6*$B$5</f>
        <v>0</v>
      </c>
      <c r="C15" s="3">
        <f>0.2+25*B15-200*B15^2+675*B15^3-900*B15^4+400*B15^5</f>
        <v>0</v>
      </c>
      <c r="D15">
        <v>2</v>
      </c>
      <c r="E15">
        <v>2</v>
      </c>
    </row>
    <row r="16" spans="1:6">
      <c r="A16">
        <v>7</v>
      </c>
      <c r="B16">
        <f>$B$2+7*$B$5</f>
        <v>0</v>
      </c>
      <c r="C16" s="3">
        <f>0.2+25*B16-200*B16^2+675*B16^3-900*B16^4+400*B16^5</f>
        <v>0</v>
      </c>
      <c r="D16">
        <v>2</v>
      </c>
      <c r="E16">
        <v>4</v>
      </c>
    </row>
    <row r="17" spans="1:5">
      <c r="A17">
        <v>8</v>
      </c>
      <c r="B17">
        <f>$B$2+8*$B$5</f>
        <v>0</v>
      </c>
      <c r="C17" s="3">
        <f>0.2+25*B17-200*B17^2+675*B17^3-900*B17^4+400*B17^5</f>
        <v>0</v>
      </c>
      <c r="D17">
        <v>2</v>
      </c>
      <c r="E17">
        <v>2</v>
      </c>
    </row>
    <row r="18" spans="1:5">
      <c r="A18">
        <v>9</v>
      </c>
      <c r="B18">
        <f>$B$2+9*$B$5</f>
        <v>0</v>
      </c>
      <c r="C18" s="3">
        <f>0.2+25*B18-200*B18^2+675*B18^3-900*B18^4+400*B18^5</f>
        <v>0</v>
      </c>
      <c r="D18">
        <v>2</v>
      </c>
      <c r="E18">
        <v>4</v>
      </c>
    </row>
    <row r="19" spans="1:5">
      <c r="A19">
        <v>10</v>
      </c>
      <c r="B19">
        <f>$B$2+10*$B$5</f>
        <v>0</v>
      </c>
      <c r="C19" s="3">
        <f>0.2+25*B19-200*B19^2+675*B19^3-900*B19^4+400*B19^5</f>
        <v>0</v>
      </c>
      <c r="D19">
        <v>1</v>
      </c>
      <c r="E19">
        <v>1</v>
      </c>
    </row>
    <row r="20" spans="1:5">
      <c r="A20" s="1" t="s">
        <v>12</v>
      </c>
      <c r="C20" s="3">
        <f>(B5/2)*SUMPRODUCT(C9:C19, D9:D19)</f>
        <v>0</v>
      </c>
    </row>
    <row r="21" spans="1:5">
      <c r="A21" s="1" t="s">
        <v>13</v>
      </c>
      <c r="C21" s="3">
        <f>(B5/3)*SUMPRODUCT(C9:C19, E9:E19)</f>
        <v>0</v>
      </c>
    </row>
    <row r="22" spans="1:5">
      <c r="A22" s="1" t="s">
        <v>14</v>
      </c>
      <c r="C22" s="4">
        <f>ABS(($B$6-C20)/$B$6)</f>
        <v>0</v>
      </c>
    </row>
    <row r="23" spans="1:5">
      <c r="A23" s="1" t="s">
        <v>15</v>
      </c>
      <c r="C23" s="4">
        <f>ABS(($B$6-C21)/$B$6)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8" width="15.7109375" customWidth="1"/>
  </cols>
  <sheetData>
    <row r="1" spans="1:8">
      <c r="A1" s="1" t="s">
        <v>16</v>
      </c>
    </row>
    <row r="2" spans="1:8">
      <c r="A2" t="s">
        <v>4</v>
      </c>
      <c r="B2">
        <v>0.5</v>
      </c>
    </row>
    <row r="3" spans="1:8">
      <c r="A3" t="s">
        <v>17</v>
      </c>
      <c r="B3">
        <v>0</v>
      </c>
    </row>
    <row r="4" spans="1:8">
      <c r="A4" t="s">
        <v>18</v>
      </c>
      <c r="B4">
        <v>1</v>
      </c>
    </row>
    <row r="7" spans="1:8">
      <c r="A7" s="2" t="s">
        <v>19</v>
      </c>
      <c r="B7" s="2" t="s">
        <v>7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</row>
    <row r="8" spans="1:8">
      <c r="A8">
        <v>0</v>
      </c>
      <c r="B8">
        <v>0</v>
      </c>
      <c r="C8">
        <v>1</v>
      </c>
      <c r="D8" s="3">
        <f>-2*B8^3+12*B8^2-20*B8+8.5</f>
        <v>0</v>
      </c>
      <c r="E8" s="3">
        <f>-2*(B8+0.5*$B$2)^3+12*(B8+0.5*$B$2)^2-20*(B8+0.5*$B$2)+8.5</f>
        <v>0</v>
      </c>
      <c r="F8" s="3">
        <f>-2*(B8+0.5*$B$2)^3+12*(B8+0.5*$B$2)^2-20*(B8+0.5*$B$2)+8.5</f>
        <v>0</v>
      </c>
      <c r="G8" s="3">
        <f>-2*(B8+$B$2)^3+12*(B8+$B$2)^2-20*(B8+$B$2)+8.5</f>
        <v>0</v>
      </c>
      <c r="H8" s="3">
        <f>C8+($B$2/6)*(D8+2*E8+2*F8+G8)</f>
        <v>0</v>
      </c>
    </row>
    <row r="9" spans="1:8">
      <c r="A9">
        <v>1</v>
      </c>
      <c r="B9">
        <f>B8+$B$2</f>
        <v>0</v>
      </c>
      <c r="C9">
        <f>H8</f>
        <v>0</v>
      </c>
      <c r="D9" s="3">
        <f>-2*B9^3+12*B9^2-20*B9+8.5</f>
        <v>0</v>
      </c>
      <c r="E9" s="3">
        <f>-2*(B9+0.5*$B$2)^3+12*(B9+0.5*$B$2)^2-20*(B9+0.5*$B$2)+8.5</f>
        <v>0</v>
      </c>
      <c r="F9" s="3">
        <f>-2*(B9+0.5*$B$2)^3+12*(B9+0.5*$B$2)^2-20*(B9+0.5*$B$2)+8.5</f>
        <v>0</v>
      </c>
      <c r="G9" s="3">
        <f>-2*(B9+$B$2)^3+12*(B9+$B$2)^2-20*(B9+$B$2)+8.5</f>
        <v>0</v>
      </c>
      <c r="H9" s="3">
        <f>C9+($B$2/6)*(D9+2*E9+2*F9+G9)</f>
        <v>0</v>
      </c>
    </row>
    <row r="10" spans="1:8">
      <c r="A10">
        <v>2</v>
      </c>
      <c r="B10">
        <f>B9+$B$2</f>
        <v>0</v>
      </c>
      <c r="C10">
        <f>H9</f>
        <v>0</v>
      </c>
      <c r="D10" s="3">
        <f>-2*B10^3+12*B10^2-20*B10+8.5</f>
        <v>0</v>
      </c>
      <c r="E10" s="3">
        <f>-2*(B10+0.5*$B$2)^3+12*(B10+0.5*$B$2)^2-20*(B10+0.5*$B$2)+8.5</f>
        <v>0</v>
      </c>
      <c r="F10" s="3">
        <f>-2*(B10+0.5*$B$2)^3+12*(B10+0.5*$B$2)^2-20*(B10+0.5*$B$2)+8.5</f>
        <v>0</v>
      </c>
      <c r="G10" s="3">
        <f>-2*(B10+$B$2)^3+12*(B10+$B$2)^2-20*(B10+$B$2)+8.5</f>
        <v>0</v>
      </c>
      <c r="H10" s="3">
        <f>C10+($B$2/6)*(D10+2*E10+2*F10+G10)</f>
        <v>0</v>
      </c>
    </row>
    <row r="11" spans="1:8">
      <c r="A11">
        <v>3</v>
      </c>
      <c r="B11">
        <f>B10+$B$2</f>
        <v>0</v>
      </c>
      <c r="C11">
        <f>H10</f>
        <v>0</v>
      </c>
      <c r="D11" s="3">
        <f>-2*B11^3+12*B11^2-20*B11+8.5</f>
        <v>0</v>
      </c>
      <c r="E11" s="3">
        <f>-2*(B11+0.5*$B$2)^3+12*(B11+0.5*$B$2)^2-20*(B11+0.5*$B$2)+8.5</f>
        <v>0</v>
      </c>
      <c r="F11" s="3">
        <f>-2*(B11+0.5*$B$2)^3+12*(B11+0.5*$B$2)^2-20*(B11+0.5*$B$2)+8.5</f>
        <v>0</v>
      </c>
      <c r="G11" s="3">
        <f>-2*(B11+$B$2)^3+12*(B11+$B$2)^2-20*(B11+$B$2)+8.5</f>
        <v>0</v>
      </c>
      <c r="H11" s="3">
        <f>C11+($B$2/6)*(D11+2*E11+2*F11+G11)</f>
        <v>0</v>
      </c>
    </row>
    <row r="12" spans="1:8">
      <c r="A12">
        <v>4</v>
      </c>
      <c r="B12">
        <f>B11+$B$2</f>
        <v>0</v>
      </c>
      <c r="C12" s="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P1_Integration</vt:lpstr>
      <vt:lpstr>P2_RK4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2026-05-09T04:03:52Z</dcterms:created>
  <dcterms:modified xsi:type="dcterms:W3CDTF">2026-05-09T04:03:52Z</dcterms:modified>
</cp:coreProperties>
</file>